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Projects\Controller\"/>
    </mc:Choice>
  </mc:AlternateContent>
  <xr:revisionPtr revIDLastSave="0" documentId="13_ncr:1_{14C6A803-BBFE-479E-8615-0D1324AA5E6B}" xr6:coauthVersionLast="47" xr6:coauthVersionMax="47" xr10:uidLastSave="{00000000-0000-0000-0000-000000000000}"/>
  <bookViews>
    <workbookView xWindow="-108" yWindow="-108" windowWidth="23256" windowHeight="12456" xr2:uid="{21009B83-CF87-4DDA-8553-EABBC2959B32}"/>
  </bookViews>
  <sheets>
    <sheet name="Needed for one PCB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<sst xmlns="http://schemas.openxmlformats.org/spreadsheetml/2006/main" count="251" uniqueCount="210">
  <si>
    <t>Reference</t>
  </si>
  <si>
    <t>Value</t>
  </si>
  <si>
    <t xml:space="preserve">Cost </t>
  </si>
  <si>
    <t>Qty</t>
  </si>
  <si>
    <t>total cost</t>
  </si>
  <si>
    <t>Footprint</t>
  </si>
  <si>
    <t>source link</t>
  </si>
  <si>
    <t>another link</t>
  </si>
  <si>
    <t>Description</t>
  </si>
  <si>
    <t>C4</t>
  </si>
  <si>
    <t>10uF</t>
  </si>
  <si>
    <t>Capacitor_THT:CP_Radial_D8.0mm_P5.00mm</t>
  </si>
  <si>
    <t>https://makerselectronics.com/product/capacitor-10uf-160v/</t>
  </si>
  <si>
    <t>Polarized capacitor, small symbol</t>
  </si>
  <si>
    <t>C34</t>
  </si>
  <si>
    <t>10uF X5R/X7R</t>
  </si>
  <si>
    <t>Capacitor_SMD:C_1206_3216Metric_Pad1.33x1.80mm_HandSolder</t>
  </si>
  <si>
    <t>https://makerselectronics.com/product/multilayer-ceramic-capacitors-mlcc-smd-smt-10uf-50v-x5r-%c2%b110-1206/</t>
  </si>
  <si>
    <t>Unpolarized capacitor, small symbol</t>
  </si>
  <si>
    <t>-</t>
  </si>
  <si>
    <t>Capacitor_THT:C_Disc_D6.0mm_W2.5mm_P5.00mm</t>
  </si>
  <si>
    <t>C1,C2</t>
  </si>
  <si>
    <t>470uF</t>
  </si>
  <si>
    <t>Capacitor_THT:CP_Radial_D16.0mm_P7.50mm</t>
  </si>
  <si>
    <t>https://makerselectronics.com/product/capacitor-470uf-100v/</t>
  </si>
  <si>
    <t>C17,C53</t>
  </si>
  <si>
    <t>22uF</t>
  </si>
  <si>
    <t>Capacitor_THT:CP_Radial_D10.0mm_P5.00mm</t>
  </si>
  <si>
    <t>https://makerselectronics.com/product/capacitor-22uf-250v/</t>
  </si>
  <si>
    <t>C22,C24,C25,C26,C30,C41</t>
  </si>
  <si>
    <t>10nF</t>
  </si>
  <si>
    <t>https://makerselectronics.com/product/ceramic-capacitor-10nf-50v/</t>
  </si>
  <si>
    <t>C3,C5</t>
  </si>
  <si>
    <t>100uF</t>
  </si>
  <si>
    <t>Capacitor_THT:CP_Radial_D12.5mm_P5.00mm</t>
  </si>
  <si>
    <t>https://makerselectronics.com/product/capacitor-100uf-160v/</t>
  </si>
  <si>
    <t>C36,C37,C38</t>
  </si>
  <si>
    <t>680nF</t>
  </si>
  <si>
    <t>https://makerselectronics.com/product/multilayer-ceramic-capacitors-mlcc-smd-smt-680nf-%c2%b110-50v-1206/</t>
  </si>
  <si>
    <t>C6,C7</t>
  </si>
  <si>
    <t>1uF</t>
  </si>
  <si>
    <t>https://makerselectronics.com/product/multilayer-ceramic-capacitors-mlcc-smd-smt-1uf-%c2%b110-50v-x7r-1206/</t>
  </si>
  <si>
    <t>C8,C9,C10,C20,C23,C27,C28,C29,C31,C32,C33,C35,C39,C40,C42,C50,C54,C55</t>
  </si>
  <si>
    <t>100nF</t>
  </si>
  <si>
    <t>https://makerselectronics.com/product/multilayer-ceramic-capacitors-mlcc-smd-smt-100nf-%c2%b110-100v-x7r-1206/</t>
  </si>
  <si>
    <t>D1</t>
  </si>
  <si>
    <t>P6KE56A</t>
  </si>
  <si>
    <t>Diode_THT:D_DO-15_P10.16mm_Horizontal</t>
  </si>
  <si>
    <t>https://makerselectronics.com/product/esd-suppressors-tvs-diodes-600w-56v-uni-directional-p6ke56a-e3-73/</t>
  </si>
  <si>
    <t>1500W unidirectional TRANSZORBÂ® Transient Voltage Suppressor, DO-201AE</t>
  </si>
  <si>
    <t>D2</t>
  </si>
  <si>
    <t>P6KE24A</t>
  </si>
  <si>
    <t>https://makerselectronics.com/product/esd-suppressors-tvs-diodes-600w-24v-uni-directional-p6ke24a-e3-73/</t>
  </si>
  <si>
    <t>D10,D11,D12,D13,D14,D15</t>
  </si>
  <si>
    <t>US2MA</t>
  </si>
  <si>
    <t>Diode_SMD:D_SMA</t>
  </si>
  <si>
    <t>https://makerselectronics.com/product/us2m-sma-diodes-fast-recovery-rectifier-smd-1-65v2a-75ns-single-2a-1kv/</t>
  </si>
  <si>
    <t>1000V, 1.5A, General Purpose Rectifier Diode, SMA(DO-214AC)</t>
  </si>
  <si>
    <t>D3,D16,D17,D18,D19,D20</t>
  </si>
  <si>
    <t>Diode_THT:D_A-405_P7.62mm_Horizontal</t>
  </si>
  <si>
    <t>https://makerselectronics.com/product/diodes-fast-recovery-rectifier-uf4007-1-7v1a-75ns-1a-1kv-do-41/</t>
  </si>
  <si>
    <t>Diode</t>
  </si>
  <si>
    <t>D4,D6,D23</t>
  </si>
  <si>
    <t>LED</t>
  </si>
  <si>
    <t>LED_SMD:LED_1206_3216Metric_Pad1.42x1.75mm_HandSolder</t>
  </si>
  <si>
    <t>https://makerselectronics.com/product/smd-led-blue-1206/</t>
  </si>
  <si>
    <t>Light emitting diode</t>
  </si>
  <si>
    <t>D7,D21,D22,D24,D25,D26,D27</t>
  </si>
  <si>
    <t>BAT54S</t>
  </si>
  <si>
    <t>Package_TO_SOT_SMD:SOT-23</t>
  </si>
  <si>
    <t>https://makerselectronics.com/product/bat54s-kl4-30v-dual-1v100ma-100ma-sot-23-schottky-barrier-diodes-sbd-smd/</t>
  </si>
  <si>
    <t>Vr 30V, If 200mA, Dual schottky barrier diode, in series, SOT-323</t>
  </si>
  <si>
    <t>F1</t>
  </si>
  <si>
    <t>12V/1.5A</t>
  </si>
  <si>
    <t>Fuse:Fuse_2512_6332Metric</t>
  </si>
  <si>
    <t>Resettable fuse 750mA</t>
  </si>
  <si>
    <t>FB1,FB2</t>
  </si>
  <si>
    <t>100Î© @ 100MHz</t>
  </si>
  <si>
    <t>Inductor_SMD:L_1206_3216Metric_Pad1.42x1.75mm_HandSolder</t>
  </si>
  <si>
    <t>https://makerselectronics.com/product/ferrite-beads-1206-100%cf%89-100mhz-1a-1-250m%cf%89/</t>
  </si>
  <si>
    <t>Ferrite bead, small symbol</t>
  </si>
  <si>
    <t>J1</t>
  </si>
  <si>
    <t>HC-05</t>
  </si>
  <si>
    <t>Connector_PinSocket_2.54mm:PinSocket_1x06_P2.54mm_Vertical</t>
  </si>
  <si>
    <t>Generic connector, single row, 01x06, script generated</t>
  </si>
  <si>
    <t>J3</t>
  </si>
  <si>
    <t>Input_Power</t>
  </si>
  <si>
    <t>TerminalBlock_Phoenix:TerminalBlock_Phoenix_MKDS-1,5-2-5.08_1x02_P5.08mm_Horizontal</t>
  </si>
  <si>
    <t>https://makerselectronics.com/product/kf126-5-0-2p-green-terminal-block/</t>
  </si>
  <si>
    <t>Generic screw terminal, single row, 01x02, script generated (kicad-library-utils/schlib/autogen/connector/)</t>
  </si>
  <si>
    <t>J4</t>
  </si>
  <si>
    <t>motor conn</t>
  </si>
  <si>
    <t>Connector_PinHeader_2.54mm:PinHeader_1x03_P2.54mm_Vertical</t>
  </si>
  <si>
    <t>Generic connector, single row, 01x03, script generated</t>
  </si>
  <si>
    <t>J5</t>
  </si>
  <si>
    <t>Encoder</t>
  </si>
  <si>
    <t>Connector_PinHeader_2.54mm:PinHeader_1x09_P2.54mm_Vertical</t>
  </si>
  <si>
    <t>https://makerselectronics.com/product/pin-headers-female-2-54mm-40-pin/</t>
  </si>
  <si>
    <t>Generic connector, single row, 01x09, script generated</t>
  </si>
  <si>
    <t>J6</t>
  </si>
  <si>
    <t>12V IN</t>
  </si>
  <si>
    <t>Connector_Phoenix_MSTB:PhoenixContact_MSTBA_2,5_2-G-5,08_1x02_P5.08mm_Horizontal</t>
  </si>
  <si>
    <t>https://makerselectronics.com/product/terminal-block-kf2edgr-5-08-2p/</t>
  </si>
  <si>
    <t>Generic connector, single row, 01x02, script generated</t>
  </si>
  <si>
    <t>J7</t>
  </si>
  <si>
    <t>Throttle</t>
  </si>
  <si>
    <t>J9</t>
  </si>
  <si>
    <t>Conn_01x11_Pin</t>
  </si>
  <si>
    <t>Connector_PinHeader_2.54mm:PinHeader_1x11_P2.54mm_Horizontal</t>
  </si>
  <si>
    <t>https://uge-one.com/product/pin-header-female-1x40-right-angle-2-54mm/</t>
  </si>
  <si>
    <t>Generic connector, single row, 01x11, script generated</t>
  </si>
  <si>
    <t>J10</t>
  </si>
  <si>
    <t>Connector_PinSocket_2.54mm:PinSocket_1x11_P2.54mm_Horizontal</t>
  </si>
  <si>
    <t>https://uge-one.com/product/pin-header-male-1x40-right-angle-2-54mm/</t>
  </si>
  <si>
    <t>J12</t>
  </si>
  <si>
    <t>fan conn</t>
  </si>
  <si>
    <t>Connector_JST:JST_EH_B2B-EH-A_1x02_P2.50mm_Vertical</t>
  </si>
  <si>
    <t>https://makerselectronics.com/product/b2b-xh-a-jst-xh-2-pin-header-2-5mm/</t>
  </si>
  <si>
    <t>J15</t>
  </si>
  <si>
    <t>W</t>
  </si>
  <si>
    <t>Connector_PinHeader_2.54mm:PinHeader_1x01_P2.54mm_Vertical</t>
  </si>
  <si>
    <t>Generic connector, single row, 01x01, script generated</t>
  </si>
  <si>
    <t>J16</t>
  </si>
  <si>
    <t>U</t>
  </si>
  <si>
    <t>https://makerselectronics.com/product/pin-headers-male-2-54mm-40-pin-straight-red-11mm/</t>
  </si>
  <si>
    <t>J17</t>
  </si>
  <si>
    <t>V</t>
  </si>
  <si>
    <t>J2,J11</t>
  </si>
  <si>
    <t>Leftstm</t>
  </si>
  <si>
    <t>Connector_PinSocket_2.54mm:PinSocket_1x20_P2.54mm_Vertical</t>
  </si>
  <si>
    <t>Generic connector, single row, 01x20, script generated</t>
  </si>
  <si>
    <t>Q1,Q2,Q3,Q4,Q5,Q6</t>
  </si>
  <si>
    <t>SFP041N</t>
  </si>
  <si>
    <t>.86$</t>
  </si>
  <si>
    <t>4ms_Package_TO:TO-220-3_Vertical</t>
  </si>
  <si>
    <t>https://www.lcsc.com/product-detail/C49257102.html?s_z=n_SFP041</t>
  </si>
  <si>
    <t>alternative : https://www.lcsc.com/product-detail/C49257104.html?s_z=n_SFP0</t>
  </si>
  <si>
    <t>R20</t>
  </si>
  <si>
    <t>1k</t>
  </si>
  <si>
    <t>Resistor_THT:R_Axial_DIN0204_L3.6mm_D1.6mm_P7.62mm_Horizontal</t>
  </si>
  <si>
    <t>https://makerselectronics.com/product/carbon-resistor-1k%cf%89-0-25w-through-hole/</t>
  </si>
  <si>
    <t>Resistor, small symbol</t>
  </si>
  <si>
    <t>R25</t>
  </si>
  <si>
    <t>330R</t>
  </si>
  <si>
    <t>https://makerselectronics.com/product/carbon-resistor-330%cf%89-0-25w-through-hole/</t>
  </si>
  <si>
    <t>R11,R12</t>
  </si>
  <si>
    <t>51R</t>
  </si>
  <si>
    <t>Resistor_SMD:R_0805_2012Metric_Pad1.20x1.40mm_HandSolder</t>
  </si>
  <si>
    <t>https://makerselectronics.com/product/chip-resistor-smd-51%cf%89-%c2%b15-0-125w-%c2%b1100ppm-%e2%84%83-0805/</t>
  </si>
  <si>
    <t>R16,R21,R22,R27,R28,R29,R31,R48,R49,R55,R56,R57,R58,R59,R60,R61,R62,R63</t>
  </si>
  <si>
    <t>10R</t>
  </si>
  <si>
    <t>Resistor_SMD:R_1210_3225Metric_Pad1.30x2.65mm_HandSolder</t>
  </si>
  <si>
    <t>https://makerselectronics.com/product/chip-resistor-smd-10%cf%89-%c2%b15-0-5w-%c2%b1100ppm-%e2%84%83-1210/</t>
  </si>
  <si>
    <t>R17,R18,R26,R30,R32,R33</t>
  </si>
  <si>
    <t>NA</t>
  </si>
  <si>
    <t>R19,R51,R52,R53</t>
  </si>
  <si>
    <t>4k7</t>
  </si>
  <si>
    <t>Resistor_SMD:R_1206_3216Metric_Pad1.30x1.75mm_HandSolder</t>
  </si>
  <si>
    <t>https://makerselectronics.com/product/chip-resistor-smd-4-7k%cf%89-%c2%b15-250mw-1206/</t>
  </si>
  <si>
    <t>R36,R37,R38</t>
  </si>
  <si>
    <t>220k</t>
  </si>
  <si>
    <t>https://makerselectronics.com/product/carbon-resistor-220k%cf%89-0-25w-through-hole/</t>
  </si>
  <si>
    <t>R39,R40,R41</t>
  </si>
  <si>
    <t>47k</t>
  </si>
  <si>
    <t>https://makerselectronics.com/product/2pcs-carbon-resistor-47k%cf%89-0-25w-through-hole/</t>
  </si>
  <si>
    <t>R8,R13</t>
  </si>
  <si>
    <t>1m</t>
  </si>
  <si>
    <t>Resistor_SMD:R_2512_6332Metric_Pad1.40x3.35mm_HandSolder</t>
  </si>
  <si>
    <t>https://uge-one.com/product/2512-smd-alloy-power-shunt-resistors-1w-6-4x3-2mm-0-001-ohm-smd-marking-r001/</t>
  </si>
  <si>
    <t>R9,R10,R42,R43,R44,R45,R46,R47</t>
  </si>
  <si>
    <t>10k</t>
  </si>
  <si>
    <t>https://makerselectronics.com/product/chip-resistor-smd-250mw-200v-%c2%b15-%c2%b1100ppm-%e2%84%83-55%e2%84%83155%e2%84%83-10k%cf%89-1206/</t>
  </si>
  <si>
    <t>SW5</t>
  </si>
  <si>
    <t>SW_DPST</t>
  </si>
  <si>
    <t>Button_Switch_THT:SW_Slide_SPDT_Straight_CK_OS102011MS2Q</t>
  </si>
  <si>
    <t>https://makerselectronics.com/product/slide-switch-right-angle-spdt-50v-0-5a-plugin-for-pcb/</t>
  </si>
  <si>
    <t>Single Pole Single Throw (SPST) switch, separate symbol</t>
  </si>
  <si>
    <t>TH2</t>
  </si>
  <si>
    <t>Thermistor_NTC</t>
  </si>
  <si>
    <t>Resistor_THT:R_Axial_DIN0204_L3.6mm_D1.6mm_P2.54mm_Vertical</t>
  </si>
  <si>
    <t>https://makerselectronics.com/product/ntc-thermistor-10k-%c2%b15-3950k-p1-7mm-mf52a103j3950/</t>
  </si>
  <si>
    <t>Temperature dependent resistor, negative temperature coefficient</t>
  </si>
  <si>
    <t>U1</t>
  </si>
  <si>
    <t>LMV324</t>
  </si>
  <si>
    <t>.11$</t>
  </si>
  <si>
    <t>Package_SO:SOIC-14_3.9x8.7mm_P1.27mm</t>
  </si>
  <si>
    <t>https://www.lcsc.com/product-detail/C7974.html?s_z=n_lmv324</t>
  </si>
  <si>
    <t>Quad Low-Voltage Rail-to-Rail Output Operational Amplifier, SOIC-14/SSOP-14</t>
  </si>
  <si>
    <t>U2</t>
  </si>
  <si>
    <t>DRV8300UD</t>
  </si>
  <si>
    <t>.54$</t>
  </si>
  <si>
    <t>Controller V2:SOP65P640X120-20N</t>
  </si>
  <si>
    <t>https://www.lcsc.com/product-detail/C3036056.html?s_z=n_drv8300</t>
  </si>
  <si>
    <t>Brushless DC motor controller, closed loop, hall sensor inputs, current limiting, SPI interface</t>
  </si>
  <si>
    <t>U3</t>
  </si>
  <si>
    <t>MP1584EN</t>
  </si>
  <si>
    <t>https://makerselectronics.com/product/mp1584en-mini-dc-dc-buck-step-down-module-4-5v-28v-input/</t>
  </si>
  <si>
    <t>U5,U6</t>
  </si>
  <si>
    <t>INA240A2D</t>
  </si>
  <si>
    <t>Package_SO:SOIC-8_3.9x4.9mm_P1.27mm</t>
  </si>
  <si>
    <t>https://www.lcsc.com/product-detail/C2060768.html?s_z=n_ina240a2</t>
  </si>
  <si>
    <t>High- and Low-Side, Bidirectional, Zero-Drift, Current-Sense Amplifier With Enhanced PWM Rejection, 50V/V, SOIC-8</t>
  </si>
  <si>
    <t>Polarized capacitor,</t>
  </si>
  <si>
    <t>Fuse holder</t>
  </si>
  <si>
    <t>_</t>
  </si>
  <si>
    <t xml:space="preserve">https://makerselectronics.com/product/smd-fuse-fast-blow-250v-1a-wt-2410-1a/ </t>
  </si>
  <si>
    <t>https://makerselectronics.com/product/smd-fuse-holders-2410-c3133/</t>
  </si>
  <si>
    <t>SMD Fuse Holders 2410 C3133</t>
  </si>
  <si>
    <t>UF4007</t>
  </si>
  <si>
    <t>1.37$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</si>
</sst>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FC8CA-ACC6-422C-B02D-0DFBEAC484D4}" name="Table13" displayName="Table13" ref="A1:I51" totalsRowShown="0" headerRowDxfId="10" dataDxfId="9">
  <autoFilter ref="A1:I51" xr:uid="{D1654F1F-2AA9-4E18-92FF-376B04DC127F}"/>
  <tableColumns count="9">
    <tableColumn id="1" xr3:uid="{91B5262B-0E6A-482F-AB5A-8A03A536F6ED}" name="Reference" dataDxfId="8"/>
    <tableColumn id="2" xr3:uid="{BE5EE79E-980F-495A-8958-4DFD74B9E5A8}" name="Value" dataDxfId="7"/>
    <tableColumn id="3" xr3:uid="{986E7D0B-A97B-4957-92F8-54B8D5C1BCC1}" name="Cost " dataDxfId="6"/>
    <tableColumn id="4" xr3:uid="{5E1FD6B4-9F26-42F4-888F-0518F19A7D32}" name="Qty" dataDxfId="5"/>
    <tableColumn id="5" xr3:uid="{24C36840-540B-4FDD-9911-8831DB8CFF9B}" name="total cost" dataDxfId="4">
      <calculatedColumnFormula>Table13[[#This Row],[Cost ]]*Table13[[#This Row],[Qty]]</calculatedColumnFormula>
    </tableColumn>
    <tableColumn id="6" xr3:uid="{219CF3CB-A7B0-4693-9F07-B150D23CC518}" name="Footprint" dataDxfId="3"/>
    <tableColumn id="7" xr3:uid="{FDB9E875-AD8B-47D8-A203-AF7B5B0E2997}" name="source link" dataDxfId="2"/>
    <tableColumn id="8" xr3:uid="{497A0DF4-34E3-40C1-856E-E57D728DBABB}" name="another link" dataDxfId="1"/>
    <tableColumn id="9" xr3:uid="{6F02A7F2-493C-477B-B731-373EE6B5A0C7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kerselectronics.com/product/pin-headers-female-2-54mm-40-pin/" TargetMode="External"/><Relationship Id="rId2" Type="http://schemas.openxmlformats.org/officeDocument/2006/relationships/hyperlink" Target="https://makerselectronics.com/product/smd-fuse-holders-2410-c3133/" TargetMode="External"/><Relationship Id="rId1" Type="http://schemas.openxmlformats.org/officeDocument/2006/relationships/hyperlink" Target="https://makerselectronics.com/product/smd-fuse-fast-blow-250v-1a-wt-2410-1a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lcsc.com/product-detail/C49257102.html?s_z=n_SFP041" TargetMode="External"/><Relationship Id="rId4" Type="http://schemas.openxmlformats.org/officeDocument/2006/relationships/hyperlink" Target="https://www.lcsc.com/product-detail/C2060768.html?s_z=n_ina240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08DB-F5E1-4269-9314-59A17D26D9EE}">
  <dimension ref="A1:I52"/>
  <sheetViews>
    <sheetView tabSelected="1" workbookViewId="0">
      <selection activeCell="A22" sqref="A22"/>
    </sheetView>
  </sheetViews>
  <sheetFormatPr defaultRowHeight="14.4" x14ac:dyDescent="0.3"/>
  <cols>
    <col min="1" max="1" width="92.33203125" bestFit="1" customWidth="1"/>
    <col min="2" max="2" width="16.109375" bestFit="1" customWidth="1"/>
    <col min="3" max="3" width="7.33203125" bestFit="1" customWidth="1"/>
    <col min="4" max="4" width="6.109375" bestFit="1" customWidth="1"/>
    <col min="5" max="5" width="11" bestFit="1" customWidth="1"/>
    <col min="6" max="6" width="77.109375" bestFit="1" customWidth="1"/>
    <col min="7" max="7" width="139.33203125" bestFit="1" customWidth="1"/>
    <col min="8" max="8" width="88.109375" bestFit="1" customWidth="1"/>
    <col min="9" max="9" width="95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>
        <v>2</v>
      </c>
      <c r="D2" s="1">
        <v>1</v>
      </c>
      <c r="E2" s="1">
        <f>Table13[[#This Row],[Cost ]]*Table13[[#This Row],[Qty]]</f>
        <v>2</v>
      </c>
      <c r="F2" s="1" t="s">
        <v>11</v>
      </c>
      <c r="G2" s="1" t="s">
        <v>12</v>
      </c>
      <c r="H2" s="1"/>
      <c r="I2" s="1" t="s">
        <v>202</v>
      </c>
    </row>
    <row r="3" spans="1:9" x14ac:dyDescent="0.3">
      <c r="A3" s="1" t="s">
        <v>14</v>
      </c>
      <c r="B3" s="1" t="s">
        <v>15</v>
      </c>
      <c r="C3" s="1">
        <v>2.5</v>
      </c>
      <c r="D3" s="1">
        <v>1</v>
      </c>
      <c r="E3" s="1">
        <f>Table13[[#This Row],[Cost ]]*Table13[[#This Row],[Qty]]</f>
        <v>2.5</v>
      </c>
      <c r="F3" s="1" t="s">
        <v>16</v>
      </c>
      <c r="G3" s="1" t="s">
        <v>17</v>
      </c>
      <c r="H3" s="1"/>
      <c r="I3" s="1" t="s">
        <v>18</v>
      </c>
    </row>
    <row r="4" spans="1:9" x14ac:dyDescent="0.3">
      <c r="A4" s="1" t="s">
        <v>21</v>
      </c>
      <c r="B4" s="1" t="s">
        <v>22</v>
      </c>
      <c r="C4" s="1">
        <v>7</v>
      </c>
      <c r="D4" s="1">
        <v>2</v>
      </c>
      <c r="E4" s="1">
        <f>Table13[[#This Row],[Cost ]]*Table13[[#This Row],[Qty]]</f>
        <v>14</v>
      </c>
      <c r="F4" s="1" t="s">
        <v>23</v>
      </c>
      <c r="G4" s="1" t="s">
        <v>24</v>
      </c>
      <c r="H4" s="1"/>
      <c r="I4" s="1" t="s">
        <v>13</v>
      </c>
    </row>
    <row r="5" spans="1:9" x14ac:dyDescent="0.3">
      <c r="A5" s="1" t="s">
        <v>25</v>
      </c>
      <c r="B5" s="1" t="s">
        <v>26</v>
      </c>
      <c r="C5" s="1">
        <v>2.75</v>
      </c>
      <c r="D5" s="1">
        <v>2</v>
      </c>
      <c r="E5" s="1">
        <f>Table13[[#This Row],[Cost ]]*Table13[[#This Row],[Qty]]</f>
        <v>5.5</v>
      </c>
      <c r="F5" s="1" t="s">
        <v>27</v>
      </c>
      <c r="G5" s="1" t="s">
        <v>28</v>
      </c>
      <c r="H5" s="1"/>
      <c r="I5" s="1" t="s">
        <v>13</v>
      </c>
    </row>
    <row r="6" spans="1:9" x14ac:dyDescent="0.3">
      <c r="A6" s="1" t="s">
        <v>29</v>
      </c>
      <c r="B6" s="1" t="s">
        <v>30</v>
      </c>
      <c r="C6" s="1">
        <v>0.5</v>
      </c>
      <c r="D6" s="1">
        <v>6</v>
      </c>
      <c r="E6" s="1">
        <f>Table13[[#This Row],[Cost ]]*Table13[[#This Row],[Qty]]</f>
        <v>3</v>
      </c>
      <c r="F6" s="1" t="s">
        <v>20</v>
      </c>
      <c r="G6" s="1" t="s">
        <v>31</v>
      </c>
      <c r="H6" s="1"/>
      <c r="I6" s="1" t="s">
        <v>18</v>
      </c>
    </row>
    <row r="7" spans="1:9" x14ac:dyDescent="0.3">
      <c r="A7" s="1" t="s">
        <v>32</v>
      </c>
      <c r="B7" s="1" t="s">
        <v>33</v>
      </c>
      <c r="C7" s="1">
        <v>8.5</v>
      </c>
      <c r="D7" s="1">
        <v>2</v>
      </c>
      <c r="E7" s="1">
        <f>Table13[[#This Row],[Cost ]]*Table13[[#This Row],[Qty]]</f>
        <v>17</v>
      </c>
      <c r="F7" s="1" t="s">
        <v>34</v>
      </c>
      <c r="G7" s="1" t="s">
        <v>35</v>
      </c>
      <c r="H7" s="1"/>
      <c r="I7" s="1" t="s">
        <v>13</v>
      </c>
    </row>
    <row r="8" spans="1:9" x14ac:dyDescent="0.3">
      <c r="A8" s="1" t="s">
        <v>36</v>
      </c>
      <c r="B8" s="1" t="s">
        <v>37</v>
      </c>
      <c r="C8" s="1">
        <v>3.25</v>
      </c>
      <c r="D8" s="1">
        <v>3</v>
      </c>
      <c r="E8" s="1">
        <f>Table13[[#This Row],[Cost ]]*Table13[[#This Row],[Qty]]</f>
        <v>9.75</v>
      </c>
      <c r="F8" s="1" t="s">
        <v>16</v>
      </c>
      <c r="G8" s="1" t="s">
        <v>38</v>
      </c>
      <c r="H8" s="1"/>
      <c r="I8" s="1" t="s">
        <v>18</v>
      </c>
    </row>
    <row r="9" spans="1:9" x14ac:dyDescent="0.3">
      <c r="A9" s="1" t="s">
        <v>39</v>
      </c>
      <c r="B9" s="1" t="s">
        <v>40</v>
      </c>
      <c r="C9" s="1">
        <v>1.5</v>
      </c>
      <c r="D9" s="1">
        <v>2</v>
      </c>
      <c r="E9" s="1">
        <f>Table13[[#This Row],[Cost ]]*Table13[[#This Row],[Qty]]</f>
        <v>3</v>
      </c>
      <c r="F9" s="1" t="s">
        <v>16</v>
      </c>
      <c r="G9" s="1" t="s">
        <v>41</v>
      </c>
      <c r="H9" s="1"/>
      <c r="I9" s="1" t="s">
        <v>18</v>
      </c>
    </row>
    <row r="10" spans="1:9" x14ac:dyDescent="0.3">
      <c r="A10" s="1" t="s">
        <v>42</v>
      </c>
      <c r="B10" s="1" t="s">
        <v>43</v>
      </c>
      <c r="C10" s="1">
        <v>1.25</v>
      </c>
      <c r="D10" s="1">
        <v>18</v>
      </c>
      <c r="E10" s="1">
        <f>Table13[[#This Row],[Cost ]]*Table13[[#This Row],[Qty]]</f>
        <v>22.5</v>
      </c>
      <c r="F10" s="1" t="s">
        <v>16</v>
      </c>
      <c r="G10" s="1" t="s">
        <v>44</v>
      </c>
      <c r="H10" s="1"/>
      <c r="I10" s="1" t="s">
        <v>18</v>
      </c>
    </row>
    <row r="11" spans="1:9" x14ac:dyDescent="0.3">
      <c r="A11" s="1" t="s">
        <v>45</v>
      </c>
      <c r="B11" s="1" t="s">
        <v>46</v>
      </c>
      <c r="C11" s="1">
        <v>2</v>
      </c>
      <c r="D11" s="1">
        <v>1</v>
      </c>
      <c r="E11" s="1">
        <f>Table13[[#This Row],[Cost ]]*Table13[[#This Row],[Qty]]</f>
        <v>2</v>
      </c>
      <c r="F11" s="1" t="s">
        <v>47</v>
      </c>
      <c r="G11" s="1" t="s">
        <v>48</v>
      </c>
      <c r="H11" s="1"/>
      <c r="I11" s="1" t="s">
        <v>49</v>
      </c>
    </row>
    <row r="12" spans="1:9" x14ac:dyDescent="0.3">
      <c r="A12" s="1" t="s">
        <v>50</v>
      </c>
      <c r="B12" s="1" t="s">
        <v>51</v>
      </c>
      <c r="C12" s="1">
        <v>2</v>
      </c>
      <c r="D12" s="1">
        <v>1</v>
      </c>
      <c r="E12" s="1">
        <f>Table13[[#This Row],[Cost ]]*Table13[[#This Row],[Qty]]</f>
        <v>2</v>
      </c>
      <c r="F12" s="1" t="s">
        <v>47</v>
      </c>
      <c r="G12" s="1" t="s">
        <v>52</v>
      </c>
      <c r="H12" s="1"/>
      <c r="I12" s="1" t="s">
        <v>49</v>
      </c>
    </row>
    <row r="13" spans="1:9" x14ac:dyDescent="0.3">
      <c r="A13" s="1" t="s">
        <v>53</v>
      </c>
      <c r="B13" s="1" t="s">
        <v>54</v>
      </c>
      <c r="C13" s="1">
        <v>1.5</v>
      </c>
      <c r="D13" s="1">
        <v>6</v>
      </c>
      <c r="E13" s="1">
        <f>Table13[[#This Row],[Cost ]]*Table13[[#This Row],[Qty]]</f>
        <v>9</v>
      </c>
      <c r="F13" s="1" t="s">
        <v>55</v>
      </c>
      <c r="G13" s="1" t="s">
        <v>56</v>
      </c>
      <c r="H13" s="1"/>
      <c r="I13" s="1" t="s">
        <v>57</v>
      </c>
    </row>
    <row r="14" spans="1:9" x14ac:dyDescent="0.3">
      <c r="A14" s="1" t="s">
        <v>58</v>
      </c>
      <c r="B14" s="1" t="s">
        <v>208</v>
      </c>
      <c r="C14" s="1">
        <v>1</v>
      </c>
      <c r="D14" s="1">
        <v>6</v>
      </c>
      <c r="E14" s="1">
        <f>Table13[[#This Row],[Cost ]]*Table13[[#This Row],[Qty]]</f>
        <v>6</v>
      </c>
      <c r="F14" s="1" t="s">
        <v>59</v>
      </c>
      <c r="G14" s="1" t="s">
        <v>60</v>
      </c>
      <c r="H14" s="1"/>
      <c r="I14" s="1" t="s">
        <v>61</v>
      </c>
    </row>
    <row r="15" spans="1:9" x14ac:dyDescent="0.3">
      <c r="A15" s="1" t="s">
        <v>62</v>
      </c>
      <c r="B15" s="1" t="s">
        <v>63</v>
      </c>
      <c r="C15" s="1">
        <v>0.8</v>
      </c>
      <c r="D15" s="1">
        <v>3</v>
      </c>
      <c r="E15" s="1">
        <f>Table13[[#This Row],[Cost ]]*Table13[[#This Row],[Qty]]</f>
        <v>2.4000000000000004</v>
      </c>
      <c r="F15" s="1" t="s">
        <v>64</v>
      </c>
      <c r="G15" s="1" t="s">
        <v>65</v>
      </c>
      <c r="H15" s="1"/>
      <c r="I15" s="1" t="s">
        <v>66</v>
      </c>
    </row>
    <row r="16" spans="1:9" x14ac:dyDescent="0.3">
      <c r="A16" s="1" t="s">
        <v>67</v>
      </c>
      <c r="B16" s="1" t="s">
        <v>68</v>
      </c>
      <c r="C16" s="1">
        <v>1.5</v>
      </c>
      <c r="D16" s="1">
        <v>7</v>
      </c>
      <c r="E16" s="1">
        <f>Table13[[#This Row],[Cost ]]*Table13[[#This Row],[Qty]]</f>
        <v>10.5</v>
      </c>
      <c r="F16" s="1" t="s">
        <v>69</v>
      </c>
      <c r="G16" s="1" t="s">
        <v>70</v>
      </c>
      <c r="H16" s="1"/>
      <c r="I16" s="1" t="s">
        <v>71</v>
      </c>
    </row>
    <row r="17" spans="1:9" x14ac:dyDescent="0.3">
      <c r="A17" s="1" t="s">
        <v>203</v>
      </c>
      <c r="B17" s="1" t="s">
        <v>204</v>
      </c>
      <c r="C17" s="1">
        <v>6</v>
      </c>
      <c r="D17" s="1">
        <v>2</v>
      </c>
      <c r="E17" s="1">
        <f>Table13[[#This Row],[Cost ]]*Table13[[#This Row],[Qty]]</f>
        <v>12</v>
      </c>
      <c r="F17" s="1" t="s">
        <v>207</v>
      </c>
      <c r="G17" s="3" t="s">
        <v>206</v>
      </c>
      <c r="H17" s="1"/>
      <c r="I17" s="1"/>
    </row>
    <row r="18" spans="1:9" x14ac:dyDescent="0.3">
      <c r="A18" s="1" t="s">
        <v>72</v>
      </c>
      <c r="B18" s="1" t="s">
        <v>73</v>
      </c>
      <c r="C18" s="1">
        <v>5</v>
      </c>
      <c r="D18" s="1">
        <v>3</v>
      </c>
      <c r="E18" s="1">
        <f>Table13[[#This Row],[Cost ]]*Table13[[#This Row],[Qty]]</f>
        <v>15</v>
      </c>
      <c r="F18" s="1" t="s">
        <v>74</v>
      </c>
      <c r="G18" s="3" t="s">
        <v>205</v>
      </c>
      <c r="H18" s="1"/>
      <c r="I18" s="1" t="s">
        <v>75</v>
      </c>
    </row>
    <row r="19" spans="1:9" x14ac:dyDescent="0.3">
      <c r="A19" s="1" t="s">
        <v>76</v>
      </c>
      <c r="B19" s="1" t="s">
        <v>77</v>
      </c>
      <c r="C19" s="1">
        <v>0.75</v>
      </c>
      <c r="D19" s="1">
        <v>2</v>
      </c>
      <c r="E19" s="1">
        <f>Table13[[#This Row],[Cost ]]*Table13[[#This Row],[Qty]]</f>
        <v>1.5</v>
      </c>
      <c r="F19" s="1" t="s">
        <v>78</v>
      </c>
      <c r="G19" s="1" t="s">
        <v>79</v>
      </c>
      <c r="H19" s="1"/>
      <c r="I19" s="1" t="s">
        <v>80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 t="s">
        <v>81</v>
      </c>
      <c r="B21" s="1" t="s">
        <v>82</v>
      </c>
      <c r="C21" s="1">
        <v>0</v>
      </c>
      <c r="D21" s="1">
        <v>1</v>
      </c>
      <c r="E21" s="1">
        <f>Table13[[#This Row],[Cost ]]*Table13[[#This Row],[Qty]]</f>
        <v>0</v>
      </c>
      <c r="F21" s="1" t="s">
        <v>83</v>
      </c>
      <c r="G21" s="1" t="s">
        <v>19</v>
      </c>
      <c r="H21" s="1"/>
      <c r="I21" s="1" t="s">
        <v>84</v>
      </c>
    </row>
    <row r="22" spans="1:9" x14ac:dyDescent="0.3">
      <c r="A22" s="1" t="s">
        <v>85</v>
      </c>
      <c r="B22" s="1" t="s">
        <v>86</v>
      </c>
      <c r="C22" s="1">
        <v>3.5</v>
      </c>
      <c r="D22" s="1">
        <v>1</v>
      </c>
      <c r="E22" s="1">
        <f>Table13[[#This Row],[Cost ]]*Table13[[#This Row],[Qty]]</f>
        <v>3.5</v>
      </c>
      <c r="F22" s="1" t="s">
        <v>87</v>
      </c>
      <c r="G22" s="1" t="s">
        <v>88</v>
      </c>
      <c r="H22" s="1"/>
      <c r="I22" s="1" t="s">
        <v>89</v>
      </c>
    </row>
    <row r="23" spans="1:9" x14ac:dyDescent="0.3">
      <c r="A23" s="1" t="s">
        <v>90</v>
      </c>
      <c r="B23" s="1" t="s">
        <v>91</v>
      </c>
      <c r="C23" s="1">
        <v>0</v>
      </c>
      <c r="D23" s="1">
        <v>1</v>
      </c>
      <c r="E23" s="1">
        <f>Table13[[#This Row],[Cost ]]*Table13[[#This Row],[Qty]]</f>
        <v>0</v>
      </c>
      <c r="F23" s="1" t="s">
        <v>92</v>
      </c>
      <c r="G23" s="1" t="s">
        <v>19</v>
      </c>
      <c r="H23" s="1"/>
      <c r="I23" s="1" t="s">
        <v>93</v>
      </c>
    </row>
    <row r="24" spans="1:9" x14ac:dyDescent="0.3">
      <c r="A24" s="1" t="s">
        <v>94</v>
      </c>
      <c r="B24" s="1" t="s">
        <v>95</v>
      </c>
      <c r="C24" s="1">
        <v>5</v>
      </c>
      <c r="D24" s="1">
        <v>1</v>
      </c>
      <c r="E24" s="1">
        <f>Table13[[#This Row],[Cost ]]*Table13[[#This Row],[Qty]]</f>
        <v>5</v>
      </c>
      <c r="F24" s="1" t="s">
        <v>96</v>
      </c>
      <c r="G24" s="1" t="s">
        <v>97</v>
      </c>
      <c r="H24" s="1"/>
      <c r="I24" s="1" t="s">
        <v>98</v>
      </c>
    </row>
    <row r="25" spans="1:9" x14ac:dyDescent="0.3">
      <c r="A25" s="1" t="s">
        <v>99</v>
      </c>
      <c r="B25" s="1" t="s">
        <v>100</v>
      </c>
      <c r="C25" s="1">
        <v>5</v>
      </c>
      <c r="D25" s="1">
        <v>1</v>
      </c>
      <c r="E25" s="1">
        <f>Table13[[#This Row],[Cost ]]*Table13[[#This Row],[Qty]]</f>
        <v>5</v>
      </c>
      <c r="F25" s="1" t="s">
        <v>101</v>
      </c>
      <c r="G25" s="1" t="s">
        <v>102</v>
      </c>
      <c r="H25" s="1"/>
      <c r="I25" s="1" t="s">
        <v>103</v>
      </c>
    </row>
    <row r="26" spans="1:9" x14ac:dyDescent="0.3">
      <c r="A26" s="1" t="s">
        <v>104</v>
      </c>
      <c r="B26" s="1" t="s">
        <v>105</v>
      </c>
      <c r="C26" s="1">
        <v>0</v>
      </c>
      <c r="D26" s="1">
        <v>1</v>
      </c>
      <c r="E26" s="1">
        <f>Table13[[#This Row],[Cost ]]*Table13[[#This Row],[Qty]]</f>
        <v>0</v>
      </c>
      <c r="F26" s="1" t="s">
        <v>92</v>
      </c>
      <c r="G26" s="1" t="s">
        <v>19</v>
      </c>
      <c r="H26" s="1"/>
      <c r="I26" s="1" t="s">
        <v>93</v>
      </c>
    </row>
    <row r="27" spans="1:9" x14ac:dyDescent="0.3">
      <c r="A27" s="1" t="s">
        <v>106</v>
      </c>
      <c r="B27" s="1" t="s">
        <v>107</v>
      </c>
      <c r="C27" s="1">
        <v>17</v>
      </c>
      <c r="D27" s="1">
        <v>1</v>
      </c>
      <c r="E27" s="1">
        <f>Table13[[#This Row],[Cost ]]*Table13[[#This Row],[Qty]]</f>
        <v>17</v>
      </c>
      <c r="F27" s="1" t="s">
        <v>108</v>
      </c>
      <c r="G27" s="1" t="s">
        <v>109</v>
      </c>
      <c r="H27" s="1"/>
      <c r="I27" s="1" t="s">
        <v>110</v>
      </c>
    </row>
    <row r="28" spans="1:9" x14ac:dyDescent="0.3">
      <c r="A28" s="1" t="s">
        <v>111</v>
      </c>
      <c r="B28" s="1" t="s">
        <v>107</v>
      </c>
      <c r="C28" s="1">
        <v>8</v>
      </c>
      <c r="D28" s="1">
        <v>1</v>
      </c>
      <c r="E28" s="1">
        <f>Table13[[#This Row],[Cost ]]*Table13[[#This Row],[Qty]]</f>
        <v>8</v>
      </c>
      <c r="F28" s="1" t="s">
        <v>112</v>
      </c>
      <c r="G28" s="1" t="s">
        <v>113</v>
      </c>
      <c r="H28" s="1"/>
      <c r="I28" s="1" t="s">
        <v>110</v>
      </c>
    </row>
    <row r="29" spans="1:9" x14ac:dyDescent="0.3">
      <c r="A29" s="1" t="s">
        <v>114</v>
      </c>
      <c r="B29" s="1" t="s">
        <v>115</v>
      </c>
      <c r="C29" s="1">
        <v>0.4</v>
      </c>
      <c r="D29" s="1">
        <v>1</v>
      </c>
      <c r="E29" s="1">
        <f>Table13[[#This Row],[Cost ]]*Table13[[#This Row],[Qty]]</f>
        <v>0.4</v>
      </c>
      <c r="F29" s="1" t="s">
        <v>116</v>
      </c>
      <c r="G29" s="1" t="s">
        <v>117</v>
      </c>
      <c r="H29" s="1"/>
      <c r="I29" s="1" t="s">
        <v>103</v>
      </c>
    </row>
    <row r="30" spans="1:9" x14ac:dyDescent="0.3">
      <c r="A30" s="1" t="s">
        <v>118</v>
      </c>
      <c r="B30" s="1" t="s">
        <v>119</v>
      </c>
      <c r="C30" s="1">
        <v>0</v>
      </c>
      <c r="D30" s="1">
        <v>1</v>
      </c>
      <c r="E30" s="1">
        <f>Table13[[#This Row],[Cost ]]*Table13[[#This Row],[Qty]]</f>
        <v>0</v>
      </c>
      <c r="F30" s="1" t="s">
        <v>120</v>
      </c>
      <c r="G30" s="1" t="s">
        <v>19</v>
      </c>
      <c r="H30" s="1"/>
      <c r="I30" s="1" t="s">
        <v>121</v>
      </c>
    </row>
    <row r="31" spans="1:9" x14ac:dyDescent="0.3">
      <c r="A31" s="1" t="s">
        <v>122</v>
      </c>
      <c r="B31" s="1" t="s">
        <v>123</v>
      </c>
      <c r="C31" s="1">
        <v>3.5</v>
      </c>
      <c r="D31" s="1">
        <v>1</v>
      </c>
      <c r="E31" s="1">
        <f>Table13[[#This Row],[Cost ]]*Table13[[#This Row],[Qty]]</f>
        <v>3.5</v>
      </c>
      <c r="F31" s="1" t="s">
        <v>120</v>
      </c>
      <c r="G31" s="1" t="s">
        <v>124</v>
      </c>
      <c r="H31" s="1"/>
      <c r="I31" s="1" t="s">
        <v>121</v>
      </c>
    </row>
    <row r="32" spans="1:9" x14ac:dyDescent="0.3">
      <c r="A32" s="1" t="s">
        <v>125</v>
      </c>
      <c r="B32" s="1" t="s">
        <v>126</v>
      </c>
      <c r="C32" s="1">
        <v>3.5</v>
      </c>
      <c r="D32" s="1">
        <v>1</v>
      </c>
      <c r="E32" s="1">
        <f>Table13[[#This Row],[Cost ]]*Table13[[#This Row],[Qty]]</f>
        <v>3.5</v>
      </c>
      <c r="F32" s="1" t="s">
        <v>120</v>
      </c>
      <c r="G32" s="1" t="s">
        <v>124</v>
      </c>
      <c r="H32" s="1"/>
      <c r="I32" s="1" t="s">
        <v>121</v>
      </c>
    </row>
    <row r="33" spans="1:9" x14ac:dyDescent="0.3">
      <c r="A33" s="1" t="s">
        <v>127</v>
      </c>
      <c r="B33" s="1" t="s">
        <v>128</v>
      </c>
      <c r="C33" s="1">
        <v>5</v>
      </c>
      <c r="D33" s="1">
        <v>1</v>
      </c>
      <c r="E33" s="1">
        <f>Table13[[#This Row],[Cost ]]*Table13[[#This Row],[Qty]]</f>
        <v>5</v>
      </c>
      <c r="F33" s="1" t="s">
        <v>129</v>
      </c>
      <c r="G33" s="3" t="s">
        <v>97</v>
      </c>
      <c r="H33" s="1"/>
      <c r="I33" s="1" t="s">
        <v>130</v>
      </c>
    </row>
    <row r="34" spans="1:9" x14ac:dyDescent="0.3">
      <c r="A34" s="1" t="s">
        <v>131</v>
      </c>
      <c r="B34" s="1" t="s">
        <v>132</v>
      </c>
      <c r="C34" s="1" t="s">
        <v>133</v>
      </c>
      <c r="D34" s="1">
        <v>6</v>
      </c>
      <c r="E34" s="1" t="e">
        <f>Table13[[#This Row],[Cost ]]*Table13[[#This Row],[Qty]]</f>
        <v>#VALUE!</v>
      </c>
      <c r="F34" s="1" t="s">
        <v>134</v>
      </c>
      <c r="G34" s="3" t="s">
        <v>135</v>
      </c>
      <c r="H34" s="1" t="s">
        <v>136</v>
      </c>
      <c r="I34" s="1"/>
    </row>
    <row r="35" spans="1:9" x14ac:dyDescent="0.3">
      <c r="A35" s="1" t="s">
        <v>137</v>
      </c>
      <c r="B35" s="1" t="s">
        <v>138</v>
      </c>
      <c r="C35" s="1">
        <v>0.15</v>
      </c>
      <c r="D35" s="1">
        <v>1</v>
      </c>
      <c r="E35" s="1">
        <f>Table13[[#This Row],[Cost ]]*Table13[[#This Row],[Qty]]</f>
        <v>0.15</v>
      </c>
      <c r="F35" s="1" t="s">
        <v>139</v>
      </c>
      <c r="G35" s="1" t="s">
        <v>140</v>
      </c>
      <c r="H35" s="1"/>
      <c r="I35" s="1" t="s">
        <v>141</v>
      </c>
    </row>
    <row r="36" spans="1:9" x14ac:dyDescent="0.3">
      <c r="A36" s="1" t="s">
        <v>142</v>
      </c>
      <c r="B36" s="1" t="s">
        <v>143</v>
      </c>
      <c r="C36" s="1">
        <v>0.15</v>
      </c>
      <c r="D36" s="1">
        <v>1</v>
      </c>
      <c r="E36" s="1">
        <f>Table13[[#This Row],[Cost ]]*Table13[[#This Row],[Qty]]</f>
        <v>0.15</v>
      </c>
      <c r="F36" s="1" t="s">
        <v>139</v>
      </c>
      <c r="G36" s="1" t="s">
        <v>144</v>
      </c>
      <c r="H36" s="1"/>
      <c r="I36" s="1" t="s">
        <v>141</v>
      </c>
    </row>
    <row r="37" spans="1:9" x14ac:dyDescent="0.3">
      <c r="A37" s="1" t="s">
        <v>145</v>
      </c>
      <c r="B37" s="1" t="s">
        <v>146</v>
      </c>
      <c r="C37" s="1">
        <v>0.2</v>
      </c>
      <c r="D37" s="1">
        <v>2</v>
      </c>
      <c r="E37" s="1">
        <f>Table13[[#This Row],[Cost ]]*Table13[[#This Row],[Qty]]</f>
        <v>0.4</v>
      </c>
      <c r="F37" s="1" t="s">
        <v>147</v>
      </c>
      <c r="G37" s="1" t="s">
        <v>148</v>
      </c>
      <c r="H37" s="1"/>
      <c r="I37" s="1" t="s">
        <v>141</v>
      </c>
    </row>
    <row r="38" spans="1:9" x14ac:dyDescent="0.3">
      <c r="A38" s="1" t="s">
        <v>149</v>
      </c>
      <c r="B38" s="1" t="s">
        <v>150</v>
      </c>
      <c r="C38" s="1">
        <v>0.65</v>
      </c>
      <c r="D38" s="1">
        <v>18</v>
      </c>
      <c r="E38" s="1">
        <f>Table13[[#This Row],[Cost ]]*Table13[[#This Row],[Qty]]</f>
        <v>11.700000000000001</v>
      </c>
      <c r="F38" s="1" t="s">
        <v>151</v>
      </c>
      <c r="G38" s="1" t="s">
        <v>152</v>
      </c>
      <c r="H38" s="1"/>
      <c r="I38" s="1" t="s">
        <v>141</v>
      </c>
    </row>
    <row r="39" spans="1:9" x14ac:dyDescent="0.3">
      <c r="A39" s="1" t="s">
        <v>153</v>
      </c>
      <c r="B39" s="1" t="s">
        <v>154</v>
      </c>
      <c r="C39" s="1">
        <v>0.65</v>
      </c>
      <c r="D39" s="1">
        <v>6</v>
      </c>
      <c r="E39" s="1">
        <f>Table13[[#This Row],[Cost ]]*Table13[[#This Row],[Qty]]</f>
        <v>3.9000000000000004</v>
      </c>
      <c r="F39" s="1" t="s">
        <v>151</v>
      </c>
      <c r="G39" s="1" t="s">
        <v>152</v>
      </c>
      <c r="H39" s="1"/>
      <c r="I39" s="1" t="s">
        <v>141</v>
      </c>
    </row>
    <row r="40" spans="1:9" x14ac:dyDescent="0.3">
      <c r="A40" s="1" t="s">
        <v>155</v>
      </c>
      <c r="B40" s="1" t="s">
        <v>156</v>
      </c>
      <c r="C40" s="1">
        <v>0.2</v>
      </c>
      <c r="D40" s="1">
        <v>4</v>
      </c>
      <c r="E40" s="1">
        <f>Table13[[#This Row],[Cost ]]*Table13[[#This Row],[Qty]]</f>
        <v>0.8</v>
      </c>
      <c r="F40" s="1" t="s">
        <v>157</v>
      </c>
      <c r="G40" s="1" t="s">
        <v>158</v>
      </c>
      <c r="H40" s="1"/>
      <c r="I40" s="1" t="s">
        <v>141</v>
      </c>
    </row>
    <row r="41" spans="1:9" x14ac:dyDescent="0.3">
      <c r="A41" s="1" t="s">
        <v>159</v>
      </c>
      <c r="B41" s="1" t="s">
        <v>160</v>
      </c>
      <c r="C41" s="1">
        <v>0.15</v>
      </c>
      <c r="D41" s="1">
        <v>3</v>
      </c>
      <c r="E41" s="1">
        <f>Table13[[#This Row],[Cost ]]*Table13[[#This Row],[Qty]]</f>
        <v>0.44999999999999996</v>
      </c>
      <c r="F41" s="1" t="s">
        <v>139</v>
      </c>
      <c r="G41" s="1" t="s">
        <v>161</v>
      </c>
      <c r="H41" s="1"/>
      <c r="I41" s="1" t="s">
        <v>141</v>
      </c>
    </row>
    <row r="42" spans="1:9" x14ac:dyDescent="0.3">
      <c r="A42" s="1" t="s">
        <v>162</v>
      </c>
      <c r="B42" s="1" t="s">
        <v>163</v>
      </c>
      <c r="C42" s="1">
        <v>0.15</v>
      </c>
      <c r="D42" s="1">
        <v>3</v>
      </c>
      <c r="E42" s="1">
        <f>Table13[[#This Row],[Cost ]]*Table13[[#This Row],[Qty]]</f>
        <v>0.44999999999999996</v>
      </c>
      <c r="F42" s="1" t="s">
        <v>139</v>
      </c>
      <c r="G42" s="1" t="s">
        <v>164</v>
      </c>
      <c r="H42" s="1"/>
      <c r="I42" s="1" t="s">
        <v>141</v>
      </c>
    </row>
    <row r="43" spans="1:9" x14ac:dyDescent="0.3">
      <c r="A43" s="1" t="s">
        <v>165</v>
      </c>
      <c r="B43" s="1" t="s">
        <v>166</v>
      </c>
      <c r="C43" s="1">
        <v>10</v>
      </c>
      <c r="D43" s="1">
        <v>2</v>
      </c>
      <c r="E43" s="1">
        <f>Table13[[#This Row],[Cost ]]*Table13[[#This Row],[Qty]]</f>
        <v>20</v>
      </c>
      <c r="F43" s="1" t="s">
        <v>167</v>
      </c>
      <c r="G43" s="1" t="s">
        <v>168</v>
      </c>
      <c r="H43" s="1"/>
      <c r="I43" s="1" t="s">
        <v>141</v>
      </c>
    </row>
    <row r="44" spans="1:9" x14ac:dyDescent="0.3">
      <c r="A44" s="1" t="s">
        <v>169</v>
      </c>
      <c r="B44" s="1" t="s">
        <v>170</v>
      </c>
      <c r="C44" s="1">
        <v>0.2</v>
      </c>
      <c r="D44" s="1">
        <v>8</v>
      </c>
      <c r="E44" s="1">
        <f>Table13[[#This Row],[Cost ]]*Table13[[#This Row],[Qty]]</f>
        <v>1.6</v>
      </c>
      <c r="F44" s="1" t="s">
        <v>157</v>
      </c>
      <c r="G44" s="1" t="s">
        <v>171</v>
      </c>
      <c r="H44" s="1"/>
      <c r="I44" s="1" t="s">
        <v>141</v>
      </c>
    </row>
    <row r="45" spans="1:9" x14ac:dyDescent="0.3">
      <c r="A45" s="1" t="s">
        <v>172</v>
      </c>
      <c r="B45" s="1" t="s">
        <v>173</v>
      </c>
      <c r="C45" s="1">
        <v>3.5</v>
      </c>
      <c r="D45" s="1">
        <v>1</v>
      </c>
      <c r="E45" s="1">
        <f>Table13[[#This Row],[Cost ]]*Table13[[#This Row],[Qty]]</f>
        <v>3.5</v>
      </c>
      <c r="F45" s="1" t="s">
        <v>174</v>
      </c>
      <c r="G45" s="1" t="s">
        <v>175</v>
      </c>
      <c r="H45" s="1"/>
      <c r="I45" s="1" t="s">
        <v>176</v>
      </c>
    </row>
    <row r="46" spans="1:9" x14ac:dyDescent="0.3">
      <c r="A46" s="1" t="s">
        <v>177</v>
      </c>
      <c r="B46" s="1" t="s">
        <v>178</v>
      </c>
      <c r="C46" s="1">
        <v>2.75</v>
      </c>
      <c r="D46" s="1">
        <v>1</v>
      </c>
      <c r="E46" s="1">
        <f>Table13[[#This Row],[Cost ]]*Table13[[#This Row],[Qty]]</f>
        <v>2.75</v>
      </c>
      <c r="F46" s="1" t="s">
        <v>179</v>
      </c>
      <c r="G46" s="1" t="s">
        <v>180</v>
      </c>
      <c r="H46" s="1"/>
      <c r="I46" s="1" t="s">
        <v>181</v>
      </c>
    </row>
    <row r="47" spans="1:9" x14ac:dyDescent="0.3">
      <c r="A47" s="1" t="s">
        <v>182</v>
      </c>
      <c r="B47" s="1" t="s">
        <v>183</v>
      </c>
      <c r="C47" s="1" t="s">
        <v>184</v>
      </c>
      <c r="D47" s="1">
        <v>1</v>
      </c>
      <c r="E47" s="1" t="e">
        <f>Table13[[#This Row],[Cost ]]*Table13[[#This Row],[Qty]]</f>
        <v>#VALUE!</v>
      </c>
      <c r="F47" s="1" t="s">
        <v>185</v>
      </c>
      <c r="G47" s="1" t="s">
        <v>186</v>
      </c>
      <c r="H47" s="1"/>
      <c r="I47" s="1" t="s">
        <v>187</v>
      </c>
    </row>
    <row r="48" spans="1:9" x14ac:dyDescent="0.3">
      <c r="A48" s="1" t="s">
        <v>188</v>
      </c>
      <c r="B48" s="1" t="s">
        <v>189</v>
      </c>
      <c r="C48" s="1" t="s">
        <v>190</v>
      </c>
      <c r="D48" s="1">
        <v>1</v>
      </c>
      <c r="E48" s="1" t="e">
        <f>Table13[[#This Row],[Cost ]]*Table13[[#This Row],[Qty]]</f>
        <v>#VALUE!</v>
      </c>
      <c r="F48" s="1" t="s">
        <v>191</v>
      </c>
      <c r="G48" s="1" t="s">
        <v>192</v>
      </c>
      <c r="H48" s="1"/>
      <c r="I48" s="1" t="s">
        <v>193</v>
      </c>
    </row>
    <row r="49" spans="1:9" x14ac:dyDescent="0.3">
      <c r="A49" s="1" t="s">
        <v>194</v>
      </c>
      <c r="B49" s="1" t="s">
        <v>195</v>
      </c>
      <c r="C49" s="1">
        <v>45</v>
      </c>
      <c r="D49" s="1">
        <v>1</v>
      </c>
      <c r="E49" s="1">
        <f>Table13[[#This Row],[Cost ]]*Table13[[#This Row],[Qty]]</f>
        <v>45</v>
      </c>
      <c r="F49" s="1" t="s">
        <v>191</v>
      </c>
      <c r="G49" s="1" t="s">
        <v>196</v>
      </c>
      <c r="H49" s="1"/>
      <c r="I49" s="1"/>
    </row>
    <row r="50" spans="1:9" x14ac:dyDescent="0.3">
      <c r="A50" s="1" t="s">
        <v>197</v>
      </c>
      <c r="B50" s="1" t="s">
        <v>198</v>
      </c>
      <c r="C50" s="1" t="s">
        <v>209</v>
      </c>
      <c r="D50" s="1">
        <v>2</v>
      </c>
      <c r="E50" s="1" t="e">
        <f>Table13[[#This Row],[Cost ]]*Table13[[#This Row],[Qty]]</f>
        <v>#VALUE!</v>
      </c>
      <c r="F50" s="1" t="s">
        <v>199</v>
      </c>
      <c r="G50" s="3" t="s">
        <v>200</v>
      </c>
      <c r="H50" s="1"/>
      <c r="I50" s="1" t="s">
        <v>201</v>
      </c>
    </row>
    <row r="51" spans="1:9" x14ac:dyDescent="0.3">
      <c r="A51" s="1"/>
      <c r="B51" s="1"/>
      <c r="C51" s="1"/>
      <c r="D51" s="1"/>
      <c r="E51" s="1">
        <f>Table13[[#This Row],[Cost ]]*Table13[[#This Row],[Qty]]</f>
        <v>0</v>
      </c>
      <c r="F51" s="1"/>
      <c r="G51" s="1"/>
      <c r="H51" s="1"/>
      <c r="I51" s="1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</sheetData>
  <hyperlinks>
    <hyperlink ref="G18" r:id="rId1" xr:uid="{3B0236AC-B772-4791-AD32-EA6F191F4284}"/>
    <hyperlink ref="G17" r:id="rId2" xr:uid="{B97201CA-93F4-4511-9B24-D8C0FFE90721}"/>
    <hyperlink ref="G33" r:id="rId3" xr:uid="{AFFAD927-8D3B-4F74-988A-3FC49C35CBDF}"/>
    <hyperlink ref="G50" r:id="rId4" xr:uid="{C23B6164-8FD2-4582-80FB-0B5E8747B743}"/>
    <hyperlink ref="G34" r:id="rId5" xr:uid="{6ACB83CA-E68E-4F2C-A67E-A0C41D1468C2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Needed for one 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Aalaa</dc:creator>
  <cp:lastModifiedBy>Omar Aalaa</cp:lastModifiedBy>
  <dcterms:created xsi:type="dcterms:W3CDTF">2025-11-08T10:38:23Z</dcterms:created>
  <dcterms:modified xsi:type="dcterms:W3CDTF">2026-03-26T16:04:08Z</dcterms:modified>
</cp:coreProperties>
</file>